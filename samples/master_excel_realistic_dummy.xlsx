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Hardware" sheetId="2" state="visible" r:id="rId2"/>
    <sheet name="Structural" sheetId="3" state="visible" r:id="rId3"/>
    <sheet name="Labor" sheetId="4" state="visible" r:id="rId4"/>
    <sheet name="Shipping" sheetId="5" state="visible" r:id="rId5"/>
    <sheet name="Misc" sheetId="6" state="visible" r:id="rId6"/>
    <sheet name="Finance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Sheet</t>
        </is>
      </c>
      <c r="B1" t="inlineStr">
        <is>
          <t>ANC Realistic Dummy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Generated</t>
        </is>
      </c>
      <c r="B3" t="inlineStr">
        <is>
          <t>2026-01-20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screen_id</t>
        </is>
      </c>
      <c r="B1" t="inlineStr">
        <is>
          <t>product_code</t>
        </is>
      </c>
      <c r="C1" t="inlineStr">
        <is>
          <t>product_class</t>
        </is>
      </c>
      <c r="D1" t="inlineStr">
        <is>
          <t>width_ft</t>
        </is>
      </c>
      <c r="E1" t="inlineStr">
        <is>
          <t>height_ft</t>
        </is>
      </c>
      <c r="F1" t="inlineStr">
        <is>
          <t>pixel_pitch</t>
        </is>
      </c>
      <c r="G1" t="inlineStr">
        <is>
          <t>base_rate_per_sqft</t>
        </is>
      </c>
      <c r="H1" t="inlineStr">
        <is>
          <t>sqft</t>
        </is>
      </c>
      <c r="I1" t="inlineStr">
        <is>
          <t>unit_qty</t>
        </is>
      </c>
      <c r="J1" t="inlineStr">
        <is>
          <t>hardware_cost</t>
        </is>
      </c>
      <c r="K1" t="inlineStr">
        <is>
          <t>hardware_formula</t>
        </is>
      </c>
      <c r="L1" t="inlineStr">
        <is>
          <t>notes</t>
        </is>
      </c>
    </row>
    <row r="2">
      <c r="A2" t="n">
        <v>1</v>
      </c>
      <c r="B2" t="inlineStr">
        <is>
          <t>RIB-10-40x6</t>
        </is>
      </c>
      <c r="C2" t="inlineStr">
        <is>
          <t>Ribbon</t>
        </is>
      </c>
      <c r="D2" t="n">
        <v>40</v>
      </c>
      <c r="E2" t="n">
        <v>6</v>
      </c>
      <c r="F2" t="n">
        <v>10</v>
      </c>
      <c r="G2" t="n">
        <v>120</v>
      </c>
      <c r="H2" t="n">
        <v>240</v>
      </c>
      <c r="I2" t="n">
        <v>1</v>
      </c>
      <c r="J2" t="n">
        <v>28800</v>
      </c>
      <c r="K2">
        <f>D2*E2*G2*I2</f>
        <v/>
      </c>
      <c r="L2" t="inlineStr">
        <is>
          <t>Indoor ribbon</t>
        </is>
      </c>
    </row>
    <row r="3">
      <c r="A3" t="n">
        <v>2</v>
      </c>
      <c r="B3" t="inlineStr">
        <is>
          <t>SCB-6-30x16</t>
        </is>
      </c>
      <c r="C3" t="inlineStr">
        <is>
          <t>Scoreboard</t>
        </is>
      </c>
      <c r="D3" t="n">
        <v>30</v>
      </c>
      <c r="E3" t="n">
        <v>16</v>
      </c>
      <c r="F3" t="n">
        <v>6</v>
      </c>
      <c r="G3" t="n">
        <v>240</v>
      </c>
      <c r="H3" t="n">
        <v>480</v>
      </c>
      <c r="I3" t="n">
        <v>1</v>
      </c>
      <c r="J3" t="n">
        <v>115200</v>
      </c>
      <c r="K3">
        <f>D3*E3*G3*I3</f>
        <v/>
      </c>
      <c r="L3" t="inlineStr">
        <is>
          <t>Outdoor scoreboard (weather-rated)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screen_id</t>
        </is>
      </c>
      <c r="B1" t="inlineStr">
        <is>
          <t>structural_pct</t>
        </is>
      </c>
      <c r="C1" t="inlineStr">
        <is>
          <t>structural_cost_formula</t>
        </is>
      </c>
      <c r="D1" t="inlineStr">
        <is>
          <t>structural_cost</t>
        </is>
      </c>
      <c r="E1" t="inlineStr">
        <is>
          <t>notes</t>
        </is>
      </c>
    </row>
    <row r="2">
      <c r="A2" t="n">
        <v>1</v>
      </c>
      <c r="B2" t="n">
        <v>0.2</v>
      </c>
      <c r="C2">
        <f>Hardware!J2*0.2</f>
        <v/>
      </c>
      <c r="D2" t="n">
        <v>5760</v>
      </c>
      <c r="E2" t="inlineStr">
        <is>
          <t>Includes steel and brackets</t>
        </is>
      </c>
    </row>
    <row r="3">
      <c r="A3" t="n">
        <v>2</v>
      </c>
      <c r="B3" t="n">
        <v>0.2</v>
      </c>
      <c r="C3">
        <f>Hardware!J3*0.2</f>
        <v/>
      </c>
      <c r="D3" t="n">
        <v>23040</v>
      </c>
      <c r="E3" t="inlineStr">
        <is>
          <t>Includes steel and brackets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screen_id</t>
        </is>
      </c>
      <c r="B1" t="inlineStr">
        <is>
          <t>labor_pct</t>
        </is>
      </c>
      <c r="C1" t="inlineStr">
        <is>
          <t>labor_cost_formula</t>
        </is>
      </c>
      <c r="D1" t="inlineStr">
        <is>
          <t>labor_cost</t>
        </is>
      </c>
      <c r="E1" t="inlineStr">
        <is>
          <t>crew_size</t>
        </is>
      </c>
      <c r="F1" t="inlineStr">
        <is>
          <t>labor_hours</t>
        </is>
      </c>
      <c r="G1" t="inlineStr">
        <is>
          <t>notes</t>
        </is>
      </c>
    </row>
    <row r="2">
      <c r="A2" t="n">
        <v>1</v>
      </c>
      <c r="B2" t="n">
        <v>0.15</v>
      </c>
      <c r="C2">
        <f>(Hardware!J2 + Structural!D2)*0.15</f>
        <v/>
      </c>
      <c r="D2" t="n">
        <v>5184</v>
      </c>
      <c r="E2" t="n">
        <v>3</v>
      </c>
      <c r="F2" t="n">
        <v>24</v>
      </c>
      <c r="G2" t="inlineStr">
        <is>
          <t>Includes installation and setup</t>
        </is>
      </c>
    </row>
    <row r="3">
      <c r="A3" t="n">
        <v>2</v>
      </c>
      <c r="B3" t="n">
        <v>0.15</v>
      </c>
      <c r="C3">
        <f>(Hardware!J3 + Structural!D3)*0.15</f>
        <v/>
      </c>
      <c r="D3" t="n">
        <v>20736</v>
      </c>
      <c r="E3" t="n">
        <v>4</v>
      </c>
      <c r="F3" t="n">
        <v>32</v>
      </c>
      <c r="G3" t="inlineStr">
        <is>
          <t>Includes installation and setup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screen_id</t>
        </is>
      </c>
      <c r="B1" t="inlineStr">
        <is>
          <t>shipping_pct</t>
        </is>
      </c>
      <c r="C1" t="inlineStr">
        <is>
          <t>shipping_cost_formula</t>
        </is>
      </c>
      <c r="D1" t="inlineStr">
        <is>
          <t>shipping_cost</t>
        </is>
      </c>
      <c r="E1" t="inlineStr">
        <is>
          <t>notes</t>
        </is>
      </c>
    </row>
    <row r="2">
      <c r="A2" t="n">
        <v>1</v>
      </c>
      <c r="B2" t="n">
        <v>0.02</v>
      </c>
      <c r="C2">
        <f>Hardware!J2*0.02</f>
        <v/>
      </c>
      <c r="D2" t="n">
        <v>576</v>
      </c>
      <c r="E2" t="inlineStr">
        <is>
          <t>Freight and crating</t>
        </is>
      </c>
    </row>
    <row r="3">
      <c r="A3" t="n">
        <v>2</v>
      </c>
      <c r="B3" t="n">
        <v>0.02</v>
      </c>
      <c r="C3">
        <f>Hardware!J3*0.02</f>
        <v/>
      </c>
      <c r="D3" t="n">
        <v>2304</v>
      </c>
      <c r="E3" t="inlineStr">
        <is>
          <t>Freight and crating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screen_id</t>
        </is>
      </c>
      <c r="B1" t="inlineStr">
        <is>
          <t>misc_fixed</t>
        </is>
      </c>
      <c r="C1" t="inlineStr">
        <is>
          <t>misc_cost_formula</t>
        </is>
      </c>
      <c r="D1" t="inlineStr">
        <is>
          <t>misc_cost</t>
        </is>
      </c>
      <c r="E1" t="inlineStr">
        <is>
          <t>notes</t>
        </is>
      </c>
    </row>
    <row r="2">
      <c r="A2" t="n">
        <v>1</v>
      </c>
      <c r="B2" t="n">
        <v>500</v>
      </c>
      <c r="C2">
        <f>500</f>
        <v/>
      </c>
      <c r="D2" t="n">
        <v>500</v>
      </c>
      <c r="E2" t="inlineStr">
        <is>
          <t>Permits, misc consumables</t>
        </is>
      </c>
    </row>
    <row r="3">
      <c r="A3" t="n">
        <v>2</v>
      </c>
      <c r="B3" t="n">
        <v>500</v>
      </c>
      <c r="C3">
        <f>500</f>
        <v/>
      </c>
      <c r="D3" t="n">
        <v>500</v>
      </c>
      <c r="E3" t="inlineStr">
        <is>
          <t>Permits, misc consumables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formula</t>
        </is>
      </c>
      <c r="D1" t="inlineStr">
        <is>
          <t>notes</t>
        </is>
      </c>
    </row>
    <row r="2">
      <c r="A2" t="inlineStr">
        <is>
          <t>contingency_pct</t>
        </is>
      </c>
      <c r="B2" t="n">
        <v>0.05</v>
      </c>
      <c r="C2">
        <f>0.05</f>
        <v/>
      </c>
      <c r="D2" t="inlineStr">
        <is>
          <t>Project risk contingency</t>
        </is>
      </c>
    </row>
    <row r="3">
      <c r="A3" t="inlineStr">
        <is>
          <t>bond_pct</t>
        </is>
      </c>
      <c r="B3" t="n">
        <v>0.02</v>
      </c>
      <c r="C3">
        <f>0.02</f>
        <v/>
      </c>
      <c r="D3" t="inlineStr">
        <is>
          <t>Performance bond</t>
        </is>
      </c>
    </row>
    <row r="4">
      <c r="A4" t="inlineStr">
        <is>
          <t>margin_pct</t>
        </is>
      </c>
      <c r="B4" t="n">
        <v>0.2</v>
      </c>
      <c r="C4">
        <f>0.2</f>
        <v/>
      </c>
      <c r="D4" t="inlineStr">
        <is>
          <t>Target gross margin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screen_id</t>
        </is>
      </c>
      <c r="B1" t="inlineStr">
        <is>
          <t>hardware</t>
        </is>
      </c>
      <c r="C1" t="inlineStr">
        <is>
          <t>structural</t>
        </is>
      </c>
      <c r="D1" t="inlineStr">
        <is>
          <t>labor</t>
        </is>
      </c>
      <c r="E1" t="inlineStr">
        <is>
          <t>shipping</t>
        </is>
      </c>
      <c r="F1" t="inlineStr">
        <is>
          <t>misc</t>
        </is>
      </c>
      <c r="G1" t="inlineStr">
        <is>
          <t>subtotal</t>
        </is>
      </c>
      <c r="H1" t="inlineStr">
        <is>
          <t>contingency</t>
        </is>
      </c>
      <c r="I1" t="inlineStr">
        <is>
          <t>bond</t>
        </is>
      </c>
      <c r="J1" t="inlineStr">
        <is>
          <t>margin</t>
        </is>
      </c>
      <c r="K1" t="inlineStr">
        <is>
          <t>total_formula</t>
        </is>
      </c>
      <c r="L1" t="inlineStr">
        <is>
          <t>total_value</t>
        </is>
      </c>
      <c r="M1" t="inlineStr">
        <is>
          <t>notes</t>
        </is>
      </c>
    </row>
    <row r="2">
      <c r="A2" t="n">
        <v>1</v>
      </c>
      <c r="B2" t="n">
        <v>28800</v>
      </c>
      <c r="C2" t="n">
        <v>5760</v>
      </c>
      <c r="D2" t="n">
        <v>5184</v>
      </c>
      <c r="E2" t="n">
        <v>576</v>
      </c>
      <c r="F2" t="n">
        <v>500</v>
      </c>
      <c r="G2" t="n">
        <v>40820</v>
      </c>
      <c r="H2">
        <f>G2*Finance!B1</f>
        <v/>
      </c>
      <c r="I2">
        <f>G2*Finance!B2</f>
        <v/>
      </c>
      <c r="J2">
        <f>G2*Finance!B3</f>
        <v/>
      </c>
      <c r="K2">
        <f>(=Hardware!J2+Structural!D2+Labor!D2+Shipping!D2+Misc!C2)*(1+Finance!B1)*(1+Finance!B2)*(1+Finance!B3)</f>
        <v/>
      </c>
      <c r="L2" t="n">
        <v>52461.864</v>
      </c>
      <c r="M2" t="inlineStr">
        <is>
          <t>Per-screen totals</t>
        </is>
      </c>
    </row>
    <row r="3">
      <c r="A3" t="n">
        <v>2</v>
      </c>
      <c r="B3" t="n">
        <v>115200</v>
      </c>
      <c r="C3" t="n">
        <v>23040</v>
      </c>
      <c r="D3" t="n">
        <v>20736</v>
      </c>
      <c r="E3" t="n">
        <v>2304</v>
      </c>
      <c r="F3" t="n">
        <v>500</v>
      </c>
      <c r="G3" t="n">
        <v>161780</v>
      </c>
      <c r="H3">
        <f>G3*Finance!B1</f>
        <v/>
      </c>
      <c r="I3">
        <f>G3*Finance!B2</f>
        <v/>
      </c>
      <c r="J3">
        <f>G3*Finance!B3</f>
        <v/>
      </c>
      <c r="K3">
        <f>(=Hardware!J3+Structural!D3+Labor!D3+Shipping!D3+Misc!C3)*(1+Finance!B1)*(1+Finance!B2)*(1+Finance!B3)</f>
        <v/>
      </c>
      <c r="L3" t="n">
        <v>207919.656</v>
      </c>
      <c r="M3" t="inlineStr">
        <is>
          <t>Per-screen totals</t>
        </is>
      </c>
    </row>
    <row r="5">
      <c r="A5" t="inlineStr">
        <is>
          <t>GRAND_TOTAL</t>
        </is>
      </c>
      <c r="B5" t="inlineStr"/>
      <c r="C5" t="inlineStr"/>
      <c r="D5" t="inlineStr"/>
      <c r="E5" t="inlineStr"/>
      <c r="F5" t="inlineStr"/>
      <c r="G5">
        <f>SUM(G2:G3)</f>
        <v/>
      </c>
      <c r="H5">
        <f>G{len(rows)+2}*Finance!B1</f>
        <v/>
      </c>
      <c r="I5">
        <f>G{len(rows)+2}*Finance!B2</f>
        <v/>
      </c>
      <c r="J5">
        <f>G{len(rows)+2}*Finance!B3</f>
        <v/>
      </c>
      <c r="K5">
        <f>G4*(1+Finance!B1)*(1+Finance!B2)*(1+Finance!B3)</f>
        <v/>
      </c>
      <c r="L5">
        <f>SUM(L2:L{1+len(rows)})</f>
        <v/>
      </c>
      <c r="M5" t="inlineStr">
        <is>
          <t>Project grand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2026-01-20T16:16:21Z</dcterms:created>
  <dcterms:modified xsi:type="dcterms:W3CDTF">2026-01-20T16:16:21Z</dcterms:modified>
</cp:coreProperties>
</file>