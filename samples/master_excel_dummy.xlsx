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dware" sheetId="1" state="visible" r:id="rId1"/>
    <sheet name="Structural" sheetId="2" state="visible" r:id="rId2"/>
    <sheet name="Lab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screen_id</t>
        </is>
      </c>
      <c r="B1" t="inlineStr">
        <is>
          <t>product_class</t>
        </is>
      </c>
      <c r="C1" t="inlineStr">
        <is>
          <t>width_ft</t>
        </is>
      </c>
      <c r="D1" t="inlineStr">
        <is>
          <t>height_ft</t>
        </is>
      </c>
      <c r="E1" t="inlineStr">
        <is>
          <t>pixel_pitch</t>
        </is>
      </c>
      <c r="F1" t="inlineStr">
        <is>
          <t>base_rate</t>
        </is>
      </c>
      <c r="G1" t="inlineStr">
        <is>
          <t>sqft</t>
        </is>
      </c>
      <c r="H1" t="inlineStr">
        <is>
          <t>hardware_cost</t>
        </is>
      </c>
      <c r="I1" t="inlineStr">
        <is>
          <t>hardware_formula</t>
        </is>
      </c>
    </row>
    <row r="2">
      <c r="A2" t="n">
        <v>1</v>
      </c>
      <c r="B2" t="inlineStr">
        <is>
          <t>Ribbon</t>
        </is>
      </c>
      <c r="C2" t="n">
        <v>40</v>
      </c>
      <c r="D2" t="n">
        <v>6</v>
      </c>
      <c r="E2" t="n">
        <v>10</v>
      </c>
      <c r="F2" t="n">
        <v>1200</v>
      </c>
      <c r="G2" t="n">
        <v>240</v>
      </c>
      <c r="H2" t="n">
        <v>288000</v>
      </c>
      <c r="I2">
        <f>C2*D2*F2</f>
        <v/>
      </c>
    </row>
    <row r="3">
      <c r="A3" t="n">
        <v>2</v>
      </c>
      <c r="B3" t="inlineStr">
        <is>
          <t>Scoreboard</t>
        </is>
      </c>
      <c r="C3" t="n">
        <v>30</v>
      </c>
      <c r="D3" t="n">
        <v>16</v>
      </c>
      <c r="E3" t="n">
        <v>6</v>
      </c>
      <c r="F3" t="n">
        <v>2400</v>
      </c>
      <c r="G3" t="n">
        <v>480</v>
      </c>
      <c r="H3" t="n">
        <v>1152000</v>
      </c>
      <c r="I3">
        <f>C3*D3*F3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screen_id</t>
        </is>
      </c>
      <c r="B1" t="inlineStr">
        <is>
          <t>structural_pct</t>
        </is>
      </c>
      <c r="C1" t="inlineStr">
        <is>
          <t>structural_cost_formula</t>
        </is>
      </c>
      <c r="D1" t="inlineStr">
        <is>
          <t>structural_cost</t>
        </is>
      </c>
    </row>
    <row r="2">
      <c r="A2" t="n">
        <v>1</v>
      </c>
      <c r="B2" t="n">
        <v>0.2</v>
      </c>
      <c r="C2">
        <f>Hardware!H2*0.2</f>
        <v/>
      </c>
      <c r="D2" t="n">
        <v>57600</v>
      </c>
    </row>
    <row r="3">
      <c r="A3" t="n">
        <v>2</v>
      </c>
      <c r="B3" t="n">
        <v>0.2</v>
      </c>
      <c r="C3">
        <f>Hardware!H3*0.2</f>
        <v/>
      </c>
      <c r="D3" t="n">
        <v>230400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screen_id</t>
        </is>
      </c>
      <c r="B1" t="inlineStr">
        <is>
          <t>labor_pct</t>
        </is>
      </c>
      <c r="C1" t="inlineStr">
        <is>
          <t>labor_cost_formula</t>
        </is>
      </c>
      <c r="D1" t="inlineStr">
        <is>
          <t>labor_cost</t>
        </is>
      </c>
    </row>
    <row r="2">
      <c r="A2" t="n">
        <v>1</v>
      </c>
      <c r="B2" t="n">
        <v>0.15</v>
      </c>
      <c r="C2">
        <f>(Hardware!H2 + Structural!D2)*0.15</f>
        <v/>
      </c>
      <c r="D2" t="n">
        <v>51840</v>
      </c>
    </row>
    <row r="3">
      <c r="A3" t="n">
        <v>2</v>
      </c>
      <c r="B3" t="n">
        <v>0.15</v>
      </c>
      <c r="C3">
        <f>(Hardware!H3 + Structural!D3)*0.15</f>
        <v/>
      </c>
      <c r="D3" t="n">
        <v>207360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2026-01-20T14:53:59Z</dcterms:created>
  <dcterms:modified xsi:type="dcterms:W3CDTF">2026-01-20T14:53:59Z</dcterms:modified>
</cp:coreProperties>
</file>